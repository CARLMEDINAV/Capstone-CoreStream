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EDT y Presupuesto — Mejo" sheetId="1" r:id="rId5"/>
  </sheets>
  <definedNames/>
  <calcPr/>
</workbook>
</file>

<file path=xl/sharedStrings.xml><?xml version="1.0" encoding="utf-8"?>
<sst xmlns="http://schemas.openxmlformats.org/spreadsheetml/2006/main" count="177" uniqueCount="73">
  <si>
    <t>Fase / Actividad</t>
  </si>
  <si>
    <t>Días</t>
  </si>
  <si>
    <t>Carlos (JP)</t>
  </si>
  <si>
    <t>Jesús (BK)</t>
  </si>
  <si>
    <t>Javier (BK)</t>
  </si>
  <si>
    <t>Benjamín (QA)</t>
  </si>
  <si>
    <t>Total Horas</t>
  </si>
  <si>
    <t>FASE 1: ANÁLISIS Y DEFINICIÓN (Sem. 1-2: 03/08 - 16/08/2026)</t>
  </si>
  <si>
    <t>Revisar documentación y código existente de CoreStream</t>
  </si>
  <si>
    <t>Definir el alcance final de las 19 mejoras</t>
  </si>
  <si>
    <t>SIGLA</t>
  </si>
  <si>
    <t>ROL</t>
  </si>
  <si>
    <t>NOMBRE</t>
  </si>
  <si>
    <t>VALOR HH</t>
  </si>
  <si>
    <t>Elaborar Acta de Constitución del proyecto</t>
  </si>
  <si>
    <t>JP</t>
  </si>
  <si>
    <t>Jefe de Proyecto</t>
  </si>
  <si>
    <t>Carlos Medina</t>
  </si>
  <si>
    <t>Elaborar Informe ERS y Documento de Caso de Uso</t>
  </si>
  <si>
    <t>BK</t>
  </si>
  <si>
    <t>Backend</t>
  </si>
  <si>
    <t>Jesus Johnson</t>
  </si>
  <si>
    <t>SUBTOTAL FASE 1</t>
  </si>
  <si>
    <t>Javier Soto</t>
  </si>
  <si>
    <t>FASE 2: DISEÑO Y PLANIFICACIÓN (Sem. 3-4: 17/08 - 30/08/2026)</t>
  </si>
  <si>
    <t>QA</t>
  </si>
  <si>
    <t>Calidad</t>
  </si>
  <si>
    <t>Benjamin Rosales</t>
  </si>
  <si>
    <t>Diseñar el middleware de control por plan (R.02)</t>
  </si>
  <si>
    <t>Diseñar esquema de auditoría y retención de logs (R.03 y R.04)</t>
  </si>
  <si>
    <t>Diseñar 2FA/SSO panel de planes webhooks y visor (R.16-R.19)</t>
  </si>
  <si>
    <t>Diseñar plan de pruebas y verificación (R.05 a R.15)</t>
  </si>
  <si>
    <t>Entregar Fase 1 capstone: Acta ERS Caso de Uso EDT y Gantt</t>
  </si>
  <si>
    <t>SUBTOTAL FASE 2</t>
  </si>
  <si>
    <t>FASE 3: DESARROLLO Y CONSTRUCCIÓN (Sem. 5-13: 31/08 - 01/11/2026)</t>
  </si>
  <si>
    <t>Construir R.01 — Aislamiento de datos por cliente</t>
  </si>
  <si>
    <t>Construir R.02 — Control de acceso por plan</t>
  </si>
  <si>
    <t>Construir R.03 — Auditoría de acciones</t>
  </si>
  <si>
    <t>Construir R.04 — Retención y exportación de logs</t>
  </si>
  <si>
    <t>Corregir R.09 — Revocación de tokens al cerrar sesión</t>
  </si>
  <si>
    <t>Corregir R.13 — Enlace de notificaciones con incidencias</t>
  </si>
  <si>
    <t>Corregir R.15 — Único canal seguro de WebSocket</t>
  </si>
  <si>
    <t>Construir R.16 — Doble factor de autenticación (2FA/SSO)</t>
  </si>
  <si>
    <t>FASE 4: PRUEBAS Y QA (Sem. 14-15: 02/11 - 15/11/2026)</t>
  </si>
  <si>
    <t>Construir R.17 — Panel de administración de planes</t>
  </si>
  <si>
    <t>Construir R.18 — Integraciones salientes por webhooks</t>
  </si>
  <si>
    <t>Construir R.19 — Visor de auditoría en la interfaz</t>
  </si>
  <si>
    <t>Verificar R.05 — Despliegue por contenedores</t>
  </si>
  <si>
    <t>Verificar R.06 — Autenticación JWT con renovación</t>
  </si>
  <si>
    <t>Verificar R.07 — Consulta de perfil autenticado</t>
  </si>
  <si>
    <t>Verificar R.08 — Administración de usuarios y roles</t>
  </si>
  <si>
    <t>Verificar R.10 — Ciclo de vida de incidencias</t>
  </si>
  <si>
    <t>FASE 5: IMPLEMENTACIÓN Y CIERRE (Sem. 16-17: 16/11 - 29/11/2026)</t>
  </si>
  <si>
    <t>Verificar R.11 — Panel de estadísticas de incidencias</t>
  </si>
  <si>
    <t>Verificar R.12 — Centro de notificaciones in-app</t>
  </si>
  <si>
    <t>Verificar R.14 — Analítica agregada de trabajo</t>
  </si>
  <si>
    <t>SUBTOTAL FASE 3</t>
  </si>
  <si>
    <t>Probar R.01 y R.02 — Aislamiento y control por plan</t>
  </si>
  <si>
    <t>Probar R.03 y R.04 — Auditoría y retención de logs</t>
  </si>
  <si>
    <t>FASE 6: PRESENTACIÓN A LA COMISIÓN (Sem. 18: 30/11 - 06/12/2026)</t>
  </si>
  <si>
    <t>Probar R.09 y R.13 — Cierre sesión y notificaciones</t>
  </si>
  <si>
    <t>Probar R.15 y R.16 — WebSocket y 2FA</t>
  </si>
  <si>
    <t>Probar R.17 R.18 y R.19 — Planes webhooks y visor</t>
  </si>
  <si>
    <t>Entregar Fase 2 capstone: mejoras desarrolladas y probadas</t>
  </si>
  <si>
    <t>SUBTOTAL FASE 4</t>
  </si>
  <si>
    <t>TOTAL</t>
  </si>
  <si>
    <t>Integrar las 19 mejoras al ambiente final de pruebas</t>
  </si>
  <si>
    <t>Documentar los cambios técnicos de las 19 mejoras</t>
  </si>
  <si>
    <t>SUBTOTAL FASE 5</t>
  </si>
  <si>
    <t>Preparar la presentación final del proyecto</t>
  </si>
  <si>
    <t>Presentar el proyecto a la comisión evaluadora</t>
  </si>
  <si>
    <t>SUBTOTAL FASE 6</t>
  </si>
  <si>
    <t>TOTAL GENERAL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</si>
</sst>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&quot;$&quot;* #,##0_ ;_ &quot;$&quot;* \-#,##0_ ;_ &quot;$&quot;* &quot;-&quot;_ ;_ @_ "/>
    <numFmt numFmtId="165" formatCode="[$$]#,##0.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sz val="11.0"/>
      <color theme="1"/>
      <name val="Calibri"/>
    </font>
    <font>
      <color theme="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BFBFBF"/>
        <bgColor rgb="FFBFBFBF"/>
      </patternFill>
    </fill>
    <fill>
      <patternFill patternType="solid">
        <fgColor rgb="FF351C75"/>
        <bgColor rgb="FF351C7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ill="1" applyFont="1"/>
    <xf borderId="0" fillId="0" fontId="1" numFmtId="0" xfId="0" applyFont="1"/>
    <xf borderId="0" fillId="0" fontId="3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vertical="bottom"/>
    </xf>
    <xf borderId="1" fillId="0" fontId="3" numFmtId="164" xfId="0" applyAlignment="1" applyBorder="1" applyFont="1" applyNumberFormat="1">
      <alignment horizontal="right" readingOrder="0" vertical="bottom"/>
    </xf>
    <xf borderId="1" fillId="0" fontId="3" numFmtId="165" xfId="0" applyAlignment="1" applyBorder="1" applyFont="1" applyNumberFormat="1">
      <alignment horizontal="right" vertical="bottom"/>
    </xf>
    <xf borderId="1" fillId="0" fontId="3" numFmtId="164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readingOrder="0" vertical="bottom"/>
    </xf>
    <xf borderId="0" fillId="2" fontId="4" numFmtId="0" xfId="0" applyAlignment="1" applyFill="1" applyFont="1">
      <alignment readingOrder="0"/>
    </xf>
    <xf borderId="0" fillId="2" fontId="4" numFmtId="0" xfId="0" applyFill="1" applyFont="1"/>
    <xf borderId="0" fillId="4" fontId="2" numFmtId="0" xfId="0" applyAlignment="1" applyFill="1" applyFont="1">
      <alignment readingOrder="0"/>
    </xf>
    <xf borderId="0" fillId="4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63"/>
    <col customWidth="1" min="13" max="13" width="14.0"/>
    <col customWidth="1" min="15" max="15" width="5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/>
      <c r="C2" s="3"/>
      <c r="D2" s="3"/>
      <c r="E2" s="3"/>
      <c r="F2" s="3"/>
      <c r="G2" s="3"/>
    </row>
    <row r="3">
      <c r="A3" s="1" t="s">
        <v>8</v>
      </c>
      <c r="B3" s="1">
        <v>5.0</v>
      </c>
      <c r="C3" s="1">
        <v>10.0</v>
      </c>
      <c r="D3" s="1">
        <v>20.0</v>
      </c>
      <c r="E3" s="1">
        <v>20.0</v>
      </c>
      <c r="F3" s="1">
        <v>10.0</v>
      </c>
      <c r="G3" s="4">
        <f t="shared" ref="G3:G6" si="1">SUM(C3:F3)</f>
        <v>60</v>
      </c>
      <c r="J3" s="5"/>
      <c r="K3" s="5"/>
      <c r="L3" s="5"/>
      <c r="M3" s="5"/>
      <c r="N3" s="5"/>
      <c r="O3" s="5"/>
      <c r="P3" s="5"/>
    </row>
    <row r="4">
      <c r="A4" s="1" t="s">
        <v>9</v>
      </c>
      <c r="B4" s="1">
        <v>3.0</v>
      </c>
      <c r="C4" s="1">
        <v>15.0</v>
      </c>
      <c r="D4" s="1">
        <v>8.0</v>
      </c>
      <c r="E4" s="1">
        <v>8.0</v>
      </c>
      <c r="F4" s="1">
        <v>5.0</v>
      </c>
      <c r="G4" s="4">
        <f t="shared" si="1"/>
        <v>36</v>
      </c>
      <c r="J4" s="5"/>
      <c r="K4" s="6" t="s">
        <v>10</v>
      </c>
      <c r="L4" s="6" t="s">
        <v>11</v>
      </c>
      <c r="M4" s="6" t="s">
        <v>12</v>
      </c>
      <c r="N4" s="6" t="s">
        <v>13</v>
      </c>
      <c r="O4" s="2" t="s">
        <v>7</v>
      </c>
      <c r="P4" s="5"/>
    </row>
    <row r="5">
      <c r="A5" s="1" t="s">
        <v>14</v>
      </c>
      <c r="B5" s="1">
        <v>2.0</v>
      </c>
      <c r="C5" s="1">
        <v>10.0</v>
      </c>
      <c r="D5" s="1">
        <v>0.0</v>
      </c>
      <c r="E5" s="1">
        <v>0.0</v>
      </c>
      <c r="F5" s="1">
        <v>0.0</v>
      </c>
      <c r="G5" s="4">
        <f t="shared" si="1"/>
        <v>10</v>
      </c>
      <c r="J5" s="5"/>
      <c r="K5" s="7" t="s">
        <v>15</v>
      </c>
      <c r="L5" s="7" t="s">
        <v>16</v>
      </c>
      <c r="M5" s="7" t="s">
        <v>17</v>
      </c>
      <c r="N5" s="8">
        <v>22000.0</v>
      </c>
      <c r="O5" s="9">
        <f>SUM(C3:C6)*N5</f>
        <v>946000</v>
      </c>
      <c r="P5" s="5"/>
    </row>
    <row r="6">
      <c r="A6" s="1" t="s">
        <v>18</v>
      </c>
      <c r="B6" s="1">
        <v>3.0</v>
      </c>
      <c r="C6" s="1">
        <v>8.0</v>
      </c>
      <c r="D6" s="1">
        <v>6.0</v>
      </c>
      <c r="E6" s="1">
        <v>6.0</v>
      </c>
      <c r="F6" s="1">
        <v>6.0</v>
      </c>
      <c r="G6" s="4">
        <f t="shared" si="1"/>
        <v>26</v>
      </c>
      <c r="J6" s="5"/>
      <c r="K6" s="7" t="s">
        <v>19</v>
      </c>
      <c r="L6" s="7" t="s">
        <v>20</v>
      </c>
      <c r="M6" s="7" t="s">
        <v>21</v>
      </c>
      <c r="N6" s="10">
        <v>11000.0</v>
      </c>
      <c r="O6" s="9">
        <f>SUM(D3:D6)*N6</f>
        <v>374000</v>
      </c>
      <c r="P6" s="5"/>
    </row>
    <row r="7">
      <c r="A7" s="1" t="s">
        <v>22</v>
      </c>
      <c r="B7" s="4">
        <f t="shared" ref="B7:G7" si="2">SUM(B3:B6)</f>
        <v>13</v>
      </c>
      <c r="C7" s="4">
        <f t="shared" si="2"/>
        <v>43</v>
      </c>
      <c r="D7" s="4">
        <f t="shared" si="2"/>
        <v>34</v>
      </c>
      <c r="E7" s="4">
        <f t="shared" si="2"/>
        <v>34</v>
      </c>
      <c r="F7" s="4">
        <f t="shared" si="2"/>
        <v>21</v>
      </c>
      <c r="G7" s="4">
        <f t="shared" si="2"/>
        <v>132</v>
      </c>
      <c r="J7" s="5"/>
      <c r="K7" s="7" t="s">
        <v>19</v>
      </c>
      <c r="L7" s="7" t="s">
        <v>20</v>
      </c>
      <c r="M7" s="11" t="s">
        <v>23</v>
      </c>
      <c r="N7" s="10">
        <v>11000.0</v>
      </c>
      <c r="O7" s="9">
        <f>SUM(E3:E6)*N7</f>
        <v>374000</v>
      </c>
      <c r="P7" s="5"/>
    </row>
    <row r="8">
      <c r="A8" s="12" t="s">
        <v>24</v>
      </c>
      <c r="B8" s="13"/>
      <c r="C8" s="13"/>
      <c r="D8" s="13"/>
      <c r="E8" s="13"/>
      <c r="F8" s="13"/>
      <c r="G8" s="13"/>
      <c r="J8" s="5"/>
      <c r="K8" s="7" t="s">
        <v>25</v>
      </c>
      <c r="L8" s="7" t="s">
        <v>26</v>
      </c>
      <c r="M8" s="7" t="s">
        <v>27</v>
      </c>
      <c r="N8" s="10">
        <v>11000.0</v>
      </c>
      <c r="O8" s="9">
        <f>SUM(F3:F6)*N8</f>
        <v>231000</v>
      </c>
      <c r="P8" s="5"/>
    </row>
    <row r="9">
      <c r="A9" s="1" t="s">
        <v>28</v>
      </c>
      <c r="B9" s="1">
        <v>3.0</v>
      </c>
      <c r="C9" s="1">
        <v>2.0</v>
      </c>
      <c r="D9" s="1">
        <v>0.0</v>
      </c>
      <c r="E9" s="1">
        <v>18.0</v>
      </c>
      <c r="F9" s="1">
        <v>0.0</v>
      </c>
      <c r="G9" s="4">
        <f t="shared" ref="G9:G13" si="3">SUM(C9:F9)</f>
        <v>20</v>
      </c>
      <c r="J9" s="5"/>
      <c r="K9" s="5"/>
      <c r="L9" s="5"/>
      <c r="M9" s="5"/>
      <c r="N9" s="5"/>
      <c r="O9" s="5"/>
      <c r="P9" s="5"/>
    </row>
    <row r="10">
      <c r="A10" s="1" t="s">
        <v>29</v>
      </c>
      <c r="B10" s="1">
        <v>3.0</v>
      </c>
      <c r="C10" s="1">
        <v>2.0</v>
      </c>
      <c r="D10" s="1">
        <v>0.0</v>
      </c>
      <c r="E10" s="1">
        <v>18.0</v>
      </c>
      <c r="F10" s="1">
        <v>0.0</v>
      </c>
      <c r="G10" s="4">
        <f t="shared" si="3"/>
        <v>20</v>
      </c>
      <c r="K10" s="6" t="s">
        <v>10</v>
      </c>
      <c r="L10" s="6" t="s">
        <v>11</v>
      </c>
      <c r="M10" s="6" t="s">
        <v>12</v>
      </c>
      <c r="N10" s="6" t="s">
        <v>13</v>
      </c>
      <c r="O10" s="12" t="s">
        <v>24</v>
      </c>
    </row>
    <row r="11">
      <c r="A11" s="1" t="s">
        <v>30</v>
      </c>
      <c r="B11" s="1">
        <v>4.0</v>
      </c>
      <c r="C11" s="1">
        <v>2.0</v>
      </c>
      <c r="D11" s="1">
        <v>18.0</v>
      </c>
      <c r="E11" s="1">
        <v>6.0</v>
      </c>
      <c r="F11" s="1">
        <v>0.0</v>
      </c>
      <c r="G11" s="4">
        <f t="shared" si="3"/>
        <v>26</v>
      </c>
      <c r="K11" s="7" t="s">
        <v>15</v>
      </c>
      <c r="L11" s="7" t="s">
        <v>16</v>
      </c>
      <c r="M11" s="7" t="s">
        <v>17</v>
      </c>
      <c r="N11" s="8">
        <v>22000.0</v>
      </c>
      <c r="O11" s="9">
        <f>SUM(C9:C13)*N11</f>
        <v>286000</v>
      </c>
    </row>
    <row r="12">
      <c r="A12" s="1" t="s">
        <v>31</v>
      </c>
      <c r="B12" s="1">
        <v>3.0</v>
      </c>
      <c r="C12" s="1">
        <v>1.0</v>
      </c>
      <c r="D12" s="1">
        <v>0.0</v>
      </c>
      <c r="E12" s="1">
        <v>0.0</v>
      </c>
      <c r="F12" s="1">
        <v>18.0</v>
      </c>
      <c r="G12" s="4">
        <f t="shared" si="3"/>
        <v>19</v>
      </c>
      <c r="K12" s="7" t="s">
        <v>19</v>
      </c>
      <c r="L12" s="7" t="s">
        <v>20</v>
      </c>
      <c r="M12" s="7" t="s">
        <v>21</v>
      </c>
      <c r="N12" s="10">
        <v>11000.0</v>
      </c>
      <c r="O12" s="9">
        <f>SUM(D9:D13)*N12</f>
        <v>198000</v>
      </c>
    </row>
    <row r="13">
      <c r="A13" s="1" t="s">
        <v>32</v>
      </c>
      <c r="B13" s="1">
        <v>2.0</v>
      </c>
      <c r="C13" s="1">
        <v>6.0</v>
      </c>
      <c r="D13" s="1">
        <v>0.0</v>
      </c>
      <c r="E13" s="1">
        <v>0.0</v>
      </c>
      <c r="F13" s="1">
        <v>0.0</v>
      </c>
      <c r="G13" s="4">
        <f t="shared" si="3"/>
        <v>6</v>
      </c>
      <c r="K13" s="7" t="s">
        <v>19</v>
      </c>
      <c r="L13" s="7" t="s">
        <v>20</v>
      </c>
      <c r="M13" s="11" t="s">
        <v>23</v>
      </c>
      <c r="N13" s="10">
        <v>11000.0</v>
      </c>
      <c r="O13" s="9">
        <f>SUM(E9:E13)*N13</f>
        <v>462000</v>
      </c>
    </row>
    <row r="14">
      <c r="A14" s="1" t="s">
        <v>33</v>
      </c>
      <c r="B14" s="4">
        <f t="shared" ref="B14:G14" si="4">SUM(B9:B13)</f>
        <v>15</v>
      </c>
      <c r="C14" s="4">
        <f t="shared" si="4"/>
        <v>13</v>
      </c>
      <c r="D14" s="4">
        <f t="shared" si="4"/>
        <v>18</v>
      </c>
      <c r="E14" s="4">
        <f t="shared" si="4"/>
        <v>42</v>
      </c>
      <c r="F14" s="4">
        <f t="shared" si="4"/>
        <v>18</v>
      </c>
      <c r="G14" s="4">
        <f t="shared" si="4"/>
        <v>91</v>
      </c>
      <c r="K14" s="7" t="s">
        <v>25</v>
      </c>
      <c r="L14" s="7" t="s">
        <v>26</v>
      </c>
      <c r="M14" s="7" t="s">
        <v>27</v>
      </c>
      <c r="N14" s="10">
        <v>11000.0</v>
      </c>
      <c r="O14" s="9">
        <f>SUM(F9:F13)*N14</f>
        <v>198000</v>
      </c>
    </row>
    <row r="15">
      <c r="A15" s="2" t="s">
        <v>34</v>
      </c>
      <c r="B15" s="3"/>
      <c r="C15" s="3"/>
      <c r="D15" s="3"/>
      <c r="E15" s="3"/>
      <c r="F15" s="3"/>
      <c r="G15" s="3"/>
    </row>
    <row r="16">
      <c r="A16" s="1" t="s">
        <v>35</v>
      </c>
      <c r="B16" s="1">
        <v>10.0</v>
      </c>
      <c r="C16" s="1">
        <v>0.0</v>
      </c>
      <c r="D16" s="1">
        <v>60.0</v>
      </c>
      <c r="E16" s="1">
        <v>0.0</v>
      </c>
      <c r="F16" s="1">
        <v>0.0</v>
      </c>
      <c r="G16" s="4">
        <f t="shared" ref="G16:G34" si="5">SUM(C16:F16)</f>
        <v>60</v>
      </c>
      <c r="K16" s="6" t="s">
        <v>10</v>
      </c>
      <c r="L16" s="6" t="s">
        <v>11</v>
      </c>
      <c r="M16" s="6" t="s">
        <v>12</v>
      </c>
      <c r="N16" s="6" t="s">
        <v>13</v>
      </c>
      <c r="O16" s="2" t="s">
        <v>34</v>
      </c>
    </row>
    <row r="17">
      <c r="A17" s="1" t="s">
        <v>36</v>
      </c>
      <c r="B17" s="1">
        <v>8.0</v>
      </c>
      <c r="C17" s="1">
        <v>0.0</v>
      </c>
      <c r="D17" s="1">
        <v>0.0</v>
      </c>
      <c r="E17" s="1">
        <v>48.0</v>
      </c>
      <c r="F17" s="1">
        <v>0.0</v>
      </c>
      <c r="G17" s="4">
        <f t="shared" si="5"/>
        <v>48</v>
      </c>
      <c r="K17" s="7" t="s">
        <v>15</v>
      </c>
      <c r="L17" s="7" t="s">
        <v>16</v>
      </c>
      <c r="M17" s="7" t="s">
        <v>17</v>
      </c>
      <c r="N17" s="8">
        <v>22000.0</v>
      </c>
      <c r="O17" s="9">
        <f>SUM(C16:C34)*N17</f>
        <v>1584000</v>
      </c>
    </row>
    <row r="18">
      <c r="A18" s="1" t="s">
        <v>37</v>
      </c>
      <c r="B18" s="1">
        <v>8.0</v>
      </c>
      <c r="C18" s="1">
        <v>0.0</v>
      </c>
      <c r="D18" s="1">
        <v>0.0</v>
      </c>
      <c r="E18" s="1">
        <v>48.0</v>
      </c>
      <c r="F18" s="1">
        <v>0.0</v>
      </c>
      <c r="G18" s="4">
        <f t="shared" si="5"/>
        <v>48</v>
      </c>
      <c r="K18" s="7" t="s">
        <v>19</v>
      </c>
      <c r="L18" s="7" t="s">
        <v>20</v>
      </c>
      <c r="M18" s="7" t="s">
        <v>21</v>
      </c>
      <c r="N18" s="10">
        <v>11000.0</v>
      </c>
      <c r="O18" s="9">
        <f>SUM(D16:D34)*N18</f>
        <v>2244000</v>
      </c>
    </row>
    <row r="19">
      <c r="A19" s="1" t="s">
        <v>38</v>
      </c>
      <c r="B19" s="1">
        <v>5.0</v>
      </c>
      <c r="C19" s="1">
        <v>0.0</v>
      </c>
      <c r="D19" s="1">
        <v>30.0</v>
      </c>
      <c r="E19" s="1">
        <v>0.0</v>
      </c>
      <c r="F19" s="1">
        <v>0.0</v>
      </c>
      <c r="G19" s="4">
        <f t="shared" si="5"/>
        <v>30</v>
      </c>
      <c r="K19" s="7" t="s">
        <v>19</v>
      </c>
      <c r="L19" s="7" t="s">
        <v>20</v>
      </c>
      <c r="M19" s="11" t="s">
        <v>23</v>
      </c>
      <c r="N19" s="10">
        <v>11000.0</v>
      </c>
      <c r="O19" s="9">
        <f>SUM(E16:E34)*N19</f>
        <v>1980000</v>
      </c>
    </row>
    <row r="20">
      <c r="A20" s="1" t="s">
        <v>39</v>
      </c>
      <c r="B20" s="1">
        <v>5.0</v>
      </c>
      <c r="C20" s="1">
        <v>0.0</v>
      </c>
      <c r="D20" s="1">
        <v>30.0</v>
      </c>
      <c r="E20" s="1">
        <v>0.0</v>
      </c>
      <c r="F20" s="1">
        <v>0.0</v>
      </c>
      <c r="G20" s="4">
        <f t="shared" si="5"/>
        <v>30</v>
      </c>
      <c r="K20" s="7" t="s">
        <v>25</v>
      </c>
      <c r="L20" s="7" t="s">
        <v>26</v>
      </c>
      <c r="M20" s="7" t="s">
        <v>27</v>
      </c>
      <c r="N20" s="10">
        <v>11000.0</v>
      </c>
      <c r="O20" s="9">
        <f>SUM(F16:F34)*N20</f>
        <v>1056000</v>
      </c>
    </row>
    <row r="21">
      <c r="A21" s="1" t="s">
        <v>40</v>
      </c>
      <c r="B21" s="1">
        <v>5.0</v>
      </c>
      <c r="C21" s="1">
        <v>0.0</v>
      </c>
      <c r="D21" s="1">
        <v>0.0</v>
      </c>
      <c r="E21" s="1">
        <v>30.0</v>
      </c>
      <c r="F21" s="1">
        <v>0.0</v>
      </c>
      <c r="G21" s="4">
        <f t="shared" si="5"/>
        <v>30</v>
      </c>
    </row>
    <row r="22">
      <c r="A22" s="1" t="s">
        <v>41</v>
      </c>
      <c r="B22" s="1">
        <v>4.0</v>
      </c>
      <c r="C22" s="1">
        <v>0.0</v>
      </c>
      <c r="D22" s="1">
        <v>24.0</v>
      </c>
      <c r="E22" s="1">
        <v>0.0</v>
      </c>
      <c r="F22" s="1">
        <v>0.0</v>
      </c>
      <c r="G22" s="4">
        <f t="shared" si="5"/>
        <v>24</v>
      </c>
    </row>
    <row r="23">
      <c r="A23" s="1" t="s">
        <v>42</v>
      </c>
      <c r="B23" s="1">
        <v>8.0</v>
      </c>
      <c r="C23" s="1">
        <v>0.0</v>
      </c>
      <c r="D23" s="1">
        <v>24.0</v>
      </c>
      <c r="E23" s="1">
        <v>24.0</v>
      </c>
      <c r="F23" s="1">
        <v>0.0</v>
      </c>
      <c r="G23" s="4">
        <f t="shared" si="5"/>
        <v>48</v>
      </c>
      <c r="K23" s="6" t="s">
        <v>10</v>
      </c>
      <c r="L23" s="6" t="s">
        <v>11</v>
      </c>
      <c r="M23" s="6" t="s">
        <v>12</v>
      </c>
      <c r="N23" s="6" t="s">
        <v>13</v>
      </c>
      <c r="O23" s="2" t="s">
        <v>43</v>
      </c>
    </row>
    <row r="24">
      <c r="A24" s="1" t="s">
        <v>44</v>
      </c>
      <c r="B24" s="1">
        <v>6.0</v>
      </c>
      <c r="C24" s="1">
        <v>18.0</v>
      </c>
      <c r="D24" s="1">
        <v>18.0</v>
      </c>
      <c r="E24" s="1">
        <v>0.0</v>
      </c>
      <c r="F24" s="1">
        <v>0.0</v>
      </c>
      <c r="G24" s="4">
        <f t="shared" si="5"/>
        <v>36</v>
      </c>
      <c r="K24" s="7" t="s">
        <v>15</v>
      </c>
      <c r="L24" s="7" t="s">
        <v>16</v>
      </c>
      <c r="M24" s="7" t="s">
        <v>17</v>
      </c>
      <c r="N24" s="8">
        <v>22000.0</v>
      </c>
      <c r="O24" s="9">
        <f>SUM(C37:C42)*N24</f>
        <v>88000</v>
      </c>
    </row>
    <row r="25">
      <c r="A25" s="1" t="s">
        <v>45</v>
      </c>
      <c r="B25" s="1">
        <v>5.0</v>
      </c>
      <c r="C25" s="1">
        <v>18.0</v>
      </c>
      <c r="D25" s="1">
        <v>12.0</v>
      </c>
      <c r="E25" s="1">
        <v>0.0</v>
      </c>
      <c r="F25" s="1">
        <v>0.0</v>
      </c>
      <c r="G25" s="4">
        <f t="shared" si="5"/>
        <v>30</v>
      </c>
      <c r="K25" s="7" t="s">
        <v>19</v>
      </c>
      <c r="L25" s="7" t="s">
        <v>20</v>
      </c>
      <c r="M25" s="7" t="s">
        <v>21</v>
      </c>
      <c r="N25" s="10">
        <v>11000.0</v>
      </c>
      <c r="O25" s="9">
        <f>SUM(D37:D43)*N25</f>
        <v>0</v>
      </c>
    </row>
    <row r="26">
      <c r="A26" s="1" t="s">
        <v>46</v>
      </c>
      <c r="B26" s="1">
        <v>5.0</v>
      </c>
      <c r="C26" s="1">
        <v>24.0</v>
      </c>
      <c r="D26" s="1">
        <v>6.0</v>
      </c>
      <c r="E26" s="1">
        <v>0.0</v>
      </c>
      <c r="F26" s="1">
        <v>0.0</v>
      </c>
      <c r="G26" s="4">
        <f t="shared" si="5"/>
        <v>30</v>
      </c>
      <c r="K26" s="7" t="s">
        <v>19</v>
      </c>
      <c r="L26" s="7" t="s">
        <v>20</v>
      </c>
      <c r="M26" s="11" t="s">
        <v>23</v>
      </c>
      <c r="N26" s="10">
        <v>11000.0</v>
      </c>
      <c r="O26" s="9">
        <f>SUM(E37:E43)*N26</f>
        <v>0</v>
      </c>
    </row>
    <row r="27">
      <c r="A27" s="1" t="s">
        <v>47</v>
      </c>
      <c r="B27" s="1">
        <v>2.0</v>
      </c>
      <c r="C27" s="1">
        <v>0.0</v>
      </c>
      <c r="D27" s="1">
        <v>0.0</v>
      </c>
      <c r="E27" s="1">
        <v>0.0</v>
      </c>
      <c r="F27" s="1">
        <v>12.0</v>
      </c>
      <c r="G27" s="4">
        <f t="shared" si="5"/>
        <v>12</v>
      </c>
      <c r="K27" s="7" t="s">
        <v>25</v>
      </c>
      <c r="L27" s="7" t="s">
        <v>26</v>
      </c>
      <c r="M27" s="7" t="s">
        <v>27</v>
      </c>
      <c r="N27" s="10">
        <v>11000.0</v>
      </c>
      <c r="O27" s="9">
        <f>SUM(F36:F42)*N27</f>
        <v>990000</v>
      </c>
    </row>
    <row r="28">
      <c r="A28" s="1" t="s">
        <v>48</v>
      </c>
      <c r="B28" s="1">
        <v>2.0</v>
      </c>
      <c r="C28" s="1">
        <v>4.0</v>
      </c>
      <c r="D28" s="1">
        <v>0.0</v>
      </c>
      <c r="E28" s="1">
        <v>0.0</v>
      </c>
      <c r="F28" s="1">
        <v>12.0</v>
      </c>
      <c r="G28" s="4">
        <f t="shared" si="5"/>
        <v>16</v>
      </c>
    </row>
    <row r="29">
      <c r="A29" s="1" t="s">
        <v>49</v>
      </c>
      <c r="B29" s="1">
        <v>1.0</v>
      </c>
      <c r="C29" s="1">
        <v>4.0</v>
      </c>
      <c r="D29" s="1">
        <v>0.0</v>
      </c>
      <c r="E29" s="1">
        <v>0.0</v>
      </c>
      <c r="F29" s="1">
        <v>6.0</v>
      </c>
      <c r="G29" s="4">
        <f t="shared" si="5"/>
        <v>10</v>
      </c>
    </row>
    <row r="30">
      <c r="A30" s="1" t="s">
        <v>50</v>
      </c>
      <c r="B30" s="1">
        <v>2.0</v>
      </c>
      <c r="C30" s="1">
        <v>4.0</v>
      </c>
      <c r="D30" s="1">
        <v>0.0</v>
      </c>
      <c r="E30" s="1">
        <v>10.0</v>
      </c>
      <c r="F30" s="1">
        <v>12.0</v>
      </c>
      <c r="G30" s="4">
        <f t="shared" si="5"/>
        <v>26</v>
      </c>
    </row>
    <row r="31">
      <c r="A31" s="1" t="s">
        <v>51</v>
      </c>
      <c r="B31" s="1">
        <v>3.0</v>
      </c>
      <c r="C31" s="1">
        <v>0.0</v>
      </c>
      <c r="D31" s="1">
        <v>0.0</v>
      </c>
      <c r="E31" s="1">
        <v>10.0</v>
      </c>
      <c r="F31" s="1">
        <v>18.0</v>
      </c>
      <c r="G31" s="4">
        <f t="shared" si="5"/>
        <v>28</v>
      </c>
      <c r="K31" s="6" t="s">
        <v>10</v>
      </c>
      <c r="L31" s="6" t="s">
        <v>11</v>
      </c>
      <c r="M31" s="6" t="s">
        <v>12</v>
      </c>
      <c r="N31" s="6" t="s">
        <v>13</v>
      </c>
      <c r="O31" s="2" t="s">
        <v>52</v>
      </c>
    </row>
    <row r="32">
      <c r="A32" s="1" t="s">
        <v>53</v>
      </c>
      <c r="B32" s="1">
        <v>2.0</v>
      </c>
      <c r="C32" s="1">
        <v>0.0</v>
      </c>
      <c r="D32" s="1">
        <v>0.0</v>
      </c>
      <c r="E32" s="1">
        <v>10.0</v>
      </c>
      <c r="F32" s="1">
        <v>12.0</v>
      </c>
      <c r="G32" s="4">
        <f t="shared" si="5"/>
        <v>22</v>
      </c>
      <c r="K32" s="7" t="s">
        <v>15</v>
      </c>
      <c r="L32" s="7" t="s">
        <v>16</v>
      </c>
      <c r="M32" s="7" t="s">
        <v>17</v>
      </c>
      <c r="N32" s="8">
        <v>22000.0</v>
      </c>
      <c r="O32" s="9">
        <f>SUM(C45:C46)*N32</f>
        <v>220000</v>
      </c>
    </row>
    <row r="33">
      <c r="A33" s="1" t="s">
        <v>54</v>
      </c>
      <c r="B33" s="1">
        <v>2.0</v>
      </c>
      <c r="C33" s="1">
        <v>0.0</v>
      </c>
      <c r="D33" s="1">
        <v>0.0</v>
      </c>
      <c r="E33" s="1">
        <v>0.0</v>
      </c>
      <c r="F33" s="1">
        <v>12.0</v>
      </c>
      <c r="G33" s="4">
        <f t="shared" si="5"/>
        <v>12</v>
      </c>
      <c r="K33" s="7" t="s">
        <v>19</v>
      </c>
      <c r="L33" s="7" t="s">
        <v>20</v>
      </c>
      <c r="M33" s="7" t="s">
        <v>21</v>
      </c>
      <c r="N33" s="10">
        <v>11000.0</v>
      </c>
      <c r="O33" s="9">
        <f>SUM(D45:D46)*N33</f>
        <v>264000</v>
      </c>
    </row>
    <row r="34">
      <c r="A34" s="1" t="s">
        <v>55</v>
      </c>
      <c r="B34" s="1">
        <v>2.0</v>
      </c>
      <c r="C34" s="1">
        <v>0.0</v>
      </c>
      <c r="D34" s="1">
        <v>0.0</v>
      </c>
      <c r="E34" s="1">
        <v>0.0</v>
      </c>
      <c r="F34" s="1">
        <v>12.0</v>
      </c>
      <c r="G34" s="4">
        <f t="shared" si="5"/>
        <v>12</v>
      </c>
      <c r="K34" s="7" t="s">
        <v>19</v>
      </c>
      <c r="L34" s="7" t="s">
        <v>20</v>
      </c>
      <c r="M34" s="11" t="s">
        <v>23</v>
      </c>
      <c r="N34" s="10">
        <v>11000.0</v>
      </c>
      <c r="O34" s="9">
        <f>SUM(E45:E46)*N34</f>
        <v>264000</v>
      </c>
    </row>
    <row r="35">
      <c r="A35" s="1" t="s">
        <v>56</v>
      </c>
      <c r="B35" s="4">
        <f t="shared" ref="B35:G35" si="6">SUM(B16:B34)</f>
        <v>85</v>
      </c>
      <c r="C35" s="4">
        <f t="shared" si="6"/>
        <v>72</v>
      </c>
      <c r="D35" s="4">
        <f t="shared" si="6"/>
        <v>204</v>
      </c>
      <c r="E35" s="4">
        <f t="shared" si="6"/>
        <v>180</v>
      </c>
      <c r="F35" s="4">
        <f t="shared" si="6"/>
        <v>96</v>
      </c>
      <c r="G35" s="4">
        <f t="shared" si="6"/>
        <v>552</v>
      </c>
      <c r="K35" s="7" t="s">
        <v>25</v>
      </c>
      <c r="L35" s="7" t="s">
        <v>26</v>
      </c>
      <c r="M35" s="7" t="s">
        <v>27</v>
      </c>
      <c r="N35" s="10">
        <v>11000.0</v>
      </c>
      <c r="O35" s="9">
        <f>SUM(F45:F46)*N35</f>
        <v>66000</v>
      </c>
    </row>
    <row r="36">
      <c r="A36" s="2" t="s">
        <v>43</v>
      </c>
      <c r="B36" s="3"/>
      <c r="C36" s="3"/>
      <c r="D36" s="3"/>
      <c r="E36" s="3"/>
      <c r="F36" s="3"/>
      <c r="G36" s="3"/>
    </row>
    <row r="37">
      <c r="A37" s="1" t="s">
        <v>57</v>
      </c>
      <c r="B37" s="1">
        <v>3.0</v>
      </c>
      <c r="C37" s="1">
        <v>0.0</v>
      </c>
      <c r="D37" s="1">
        <v>0.0</v>
      </c>
      <c r="E37" s="1">
        <v>0.0</v>
      </c>
      <c r="F37" s="1">
        <v>18.0</v>
      </c>
      <c r="G37" s="4">
        <f t="shared" ref="G37:G42" si="7">SUM(C37:F37)</f>
        <v>18</v>
      </c>
    </row>
    <row r="38">
      <c r="A38" s="1" t="s">
        <v>58</v>
      </c>
      <c r="B38" s="1">
        <v>3.0</v>
      </c>
      <c r="C38" s="1">
        <v>0.0</v>
      </c>
      <c r="D38" s="1">
        <v>0.0</v>
      </c>
      <c r="E38" s="1">
        <v>0.0</v>
      </c>
      <c r="F38" s="1">
        <v>18.0</v>
      </c>
      <c r="G38" s="4">
        <f t="shared" si="7"/>
        <v>18</v>
      </c>
      <c r="K38" s="6" t="s">
        <v>10</v>
      </c>
      <c r="L38" s="6" t="s">
        <v>11</v>
      </c>
      <c r="M38" s="6" t="s">
        <v>12</v>
      </c>
      <c r="N38" s="6" t="s">
        <v>13</v>
      </c>
      <c r="O38" s="12" t="s">
        <v>59</v>
      </c>
    </row>
    <row r="39">
      <c r="A39" s="1" t="s">
        <v>60</v>
      </c>
      <c r="B39" s="1">
        <v>3.0</v>
      </c>
      <c r="C39" s="1">
        <v>0.0</v>
      </c>
      <c r="D39" s="1">
        <v>0.0</v>
      </c>
      <c r="E39" s="1">
        <v>0.0</v>
      </c>
      <c r="F39" s="1">
        <v>18.0</v>
      </c>
      <c r="G39" s="4">
        <f t="shared" si="7"/>
        <v>18</v>
      </c>
      <c r="K39" s="7" t="s">
        <v>15</v>
      </c>
      <c r="L39" s="7" t="s">
        <v>16</v>
      </c>
      <c r="M39" s="7" t="s">
        <v>17</v>
      </c>
      <c r="N39" s="8">
        <v>22000.0</v>
      </c>
      <c r="O39" s="9">
        <f>SUM(C49:C50)*N39</f>
        <v>352000</v>
      </c>
    </row>
    <row r="40">
      <c r="A40" s="1" t="s">
        <v>61</v>
      </c>
      <c r="B40" s="1">
        <v>3.0</v>
      </c>
      <c r="C40" s="1">
        <v>0.0</v>
      </c>
      <c r="D40" s="1">
        <v>0.0</v>
      </c>
      <c r="E40" s="1">
        <v>0.0</v>
      </c>
      <c r="F40" s="1">
        <v>18.0</v>
      </c>
      <c r="G40" s="4">
        <f t="shared" si="7"/>
        <v>18</v>
      </c>
      <c r="K40" s="7" t="s">
        <v>19</v>
      </c>
      <c r="L40" s="7" t="s">
        <v>20</v>
      </c>
      <c r="M40" s="7" t="s">
        <v>21</v>
      </c>
      <c r="N40" s="10">
        <v>11000.0</v>
      </c>
      <c r="O40" s="9">
        <f>SUM(D49:D50)*N40</f>
        <v>110000</v>
      </c>
    </row>
    <row r="41">
      <c r="A41" s="1" t="s">
        <v>62</v>
      </c>
      <c r="B41" s="1">
        <v>3.0</v>
      </c>
      <c r="C41" s="1">
        <v>0.0</v>
      </c>
      <c r="D41" s="1">
        <v>0.0</v>
      </c>
      <c r="E41" s="1">
        <v>0.0</v>
      </c>
      <c r="F41" s="1">
        <v>18.0</v>
      </c>
      <c r="G41" s="4">
        <f t="shared" si="7"/>
        <v>18</v>
      </c>
      <c r="K41" s="7" t="s">
        <v>19</v>
      </c>
      <c r="L41" s="7" t="s">
        <v>20</v>
      </c>
      <c r="M41" s="11" t="s">
        <v>23</v>
      </c>
      <c r="N41" s="10">
        <v>11000.0</v>
      </c>
      <c r="O41" s="9">
        <f>SUM(E49:E50)*N41</f>
        <v>110000</v>
      </c>
    </row>
    <row r="42">
      <c r="A42" s="1" t="s">
        <v>63</v>
      </c>
      <c r="B42" s="1">
        <v>1.0</v>
      </c>
      <c r="C42" s="1">
        <v>4.0</v>
      </c>
      <c r="D42" s="1">
        <v>0.0</v>
      </c>
      <c r="E42" s="1">
        <v>0.0</v>
      </c>
      <c r="F42" s="1">
        <v>0.0</v>
      </c>
      <c r="G42" s="4">
        <f t="shared" si="7"/>
        <v>4</v>
      </c>
      <c r="K42" s="7" t="s">
        <v>25</v>
      </c>
      <c r="L42" s="7" t="s">
        <v>26</v>
      </c>
      <c r="M42" s="7" t="s">
        <v>27</v>
      </c>
      <c r="N42" s="10">
        <v>11000.0</v>
      </c>
      <c r="O42" s="9">
        <f>SUM(F49:F50)*N42</f>
        <v>132000</v>
      </c>
    </row>
    <row r="43">
      <c r="A43" s="1" t="s">
        <v>64</v>
      </c>
      <c r="B43" s="4">
        <f t="shared" ref="B43:G43" si="8">SUM(B37:B42)</f>
        <v>16</v>
      </c>
      <c r="C43" s="4">
        <f t="shared" si="8"/>
        <v>4</v>
      </c>
      <c r="D43" s="4">
        <f t="shared" si="8"/>
        <v>0</v>
      </c>
      <c r="E43" s="4">
        <f t="shared" si="8"/>
        <v>0</v>
      </c>
      <c r="F43" s="4">
        <f t="shared" si="8"/>
        <v>90</v>
      </c>
      <c r="G43" s="4">
        <f t="shared" si="8"/>
        <v>94</v>
      </c>
    </row>
    <row r="44">
      <c r="A44" s="2" t="s">
        <v>52</v>
      </c>
      <c r="B44" s="3"/>
      <c r="C44" s="3"/>
      <c r="D44" s="3"/>
      <c r="E44" s="3"/>
      <c r="F44" s="3"/>
      <c r="G44" s="3"/>
      <c r="K44" s="6" t="s">
        <v>10</v>
      </c>
      <c r="L44" s="6" t="s">
        <v>11</v>
      </c>
      <c r="M44" s="6" t="s">
        <v>12</v>
      </c>
      <c r="N44" s="6" t="s">
        <v>13</v>
      </c>
      <c r="O44" s="2" t="s">
        <v>65</v>
      </c>
    </row>
    <row r="45">
      <c r="A45" s="1" t="s">
        <v>66</v>
      </c>
      <c r="B45" s="1">
        <v>4.0</v>
      </c>
      <c r="C45" s="1">
        <v>0.0</v>
      </c>
      <c r="D45" s="1">
        <v>16.0</v>
      </c>
      <c r="E45" s="1">
        <v>16.0</v>
      </c>
      <c r="F45" s="1">
        <v>0.0</v>
      </c>
      <c r="G45" s="4">
        <f t="shared" ref="G45:G46" si="9">SUM(C45:F45)</f>
        <v>32</v>
      </c>
      <c r="K45" s="7" t="s">
        <v>15</v>
      </c>
      <c r="L45" s="7" t="s">
        <v>16</v>
      </c>
      <c r="M45" s="7" t="s">
        <v>17</v>
      </c>
      <c r="N45" s="8">
        <v>22000.0</v>
      </c>
      <c r="O45" s="9">
        <f>C53*N45</f>
        <v>3476000</v>
      </c>
    </row>
    <row r="46">
      <c r="A46" s="1" t="s">
        <v>67</v>
      </c>
      <c r="B46" s="1">
        <v>4.0</v>
      </c>
      <c r="C46" s="1">
        <v>10.0</v>
      </c>
      <c r="D46" s="1">
        <v>8.0</v>
      </c>
      <c r="E46" s="1">
        <v>8.0</v>
      </c>
      <c r="F46" s="1">
        <v>6.0</v>
      </c>
      <c r="G46" s="4">
        <f t="shared" si="9"/>
        <v>32</v>
      </c>
      <c r="K46" s="7" t="s">
        <v>19</v>
      </c>
      <c r="L46" s="7" t="s">
        <v>20</v>
      </c>
      <c r="M46" s="7" t="s">
        <v>21</v>
      </c>
      <c r="N46" s="10">
        <v>11000.0</v>
      </c>
      <c r="O46" s="9">
        <f>D53*N46</f>
        <v>3190000</v>
      </c>
    </row>
    <row r="47">
      <c r="A47" s="1" t="s">
        <v>68</v>
      </c>
      <c r="B47" s="4">
        <f t="shared" ref="B47:G47" si="10">SUM(B45:B46)</f>
        <v>8</v>
      </c>
      <c r="C47" s="4">
        <f t="shared" si="10"/>
        <v>10</v>
      </c>
      <c r="D47" s="4">
        <f t="shared" si="10"/>
        <v>24</v>
      </c>
      <c r="E47" s="4">
        <f t="shared" si="10"/>
        <v>24</v>
      </c>
      <c r="F47" s="4">
        <f t="shared" si="10"/>
        <v>6</v>
      </c>
      <c r="G47" s="4">
        <f t="shared" si="10"/>
        <v>64</v>
      </c>
      <c r="K47" s="7" t="s">
        <v>19</v>
      </c>
      <c r="L47" s="7" t="s">
        <v>20</v>
      </c>
      <c r="M47" s="11" t="s">
        <v>23</v>
      </c>
      <c r="N47" s="10">
        <v>11000.0</v>
      </c>
      <c r="O47" s="9">
        <f>E53*N47</f>
        <v>3190000</v>
      </c>
    </row>
    <row r="48">
      <c r="A48" s="12" t="s">
        <v>59</v>
      </c>
      <c r="B48" s="13"/>
      <c r="C48" s="13"/>
      <c r="D48" s="13"/>
      <c r="E48" s="13"/>
      <c r="F48" s="13"/>
      <c r="G48" s="13"/>
      <c r="K48" s="7" t="s">
        <v>25</v>
      </c>
      <c r="L48" s="7" t="s">
        <v>26</v>
      </c>
      <c r="M48" s="7" t="s">
        <v>27</v>
      </c>
      <c r="N48" s="10">
        <v>11000.0</v>
      </c>
      <c r="O48" s="9">
        <f>F53*N48</f>
        <v>2673000</v>
      </c>
    </row>
    <row r="49">
      <c r="A49" s="1" t="s">
        <v>69</v>
      </c>
      <c r="B49" s="1">
        <v>3.0</v>
      </c>
      <c r="C49" s="1">
        <v>10.0</v>
      </c>
      <c r="D49" s="1">
        <v>4.0</v>
      </c>
      <c r="E49" s="1">
        <v>4.0</v>
      </c>
      <c r="F49" s="1">
        <v>6.0</v>
      </c>
      <c r="G49" s="4">
        <f t="shared" ref="G49:G50" si="11">SUM(C49:F49)</f>
        <v>24</v>
      </c>
    </row>
    <row r="50">
      <c r="A50" s="1" t="s">
        <v>70</v>
      </c>
      <c r="B50" s="1">
        <v>1.0</v>
      </c>
      <c r="C50" s="1">
        <v>6.0</v>
      </c>
      <c r="D50" s="1">
        <v>6.0</v>
      </c>
      <c r="E50" s="1">
        <v>6.0</v>
      </c>
      <c r="F50" s="1">
        <v>6.0</v>
      </c>
      <c r="G50" s="4">
        <f t="shared" si="11"/>
        <v>24</v>
      </c>
    </row>
    <row r="51">
      <c r="A51" s="1" t="s">
        <v>71</v>
      </c>
      <c r="B51" s="4">
        <f t="shared" ref="B51:G51" si="12">SUM(B49:B50)</f>
        <v>4</v>
      </c>
      <c r="C51" s="4">
        <f t="shared" si="12"/>
        <v>16</v>
      </c>
      <c r="D51" s="4">
        <f t="shared" si="12"/>
        <v>10</v>
      </c>
      <c r="E51" s="4">
        <f t="shared" si="12"/>
        <v>10</v>
      </c>
      <c r="F51" s="4">
        <f t="shared" si="12"/>
        <v>12</v>
      </c>
      <c r="G51" s="4">
        <f t="shared" si="12"/>
        <v>48</v>
      </c>
    </row>
    <row r="53">
      <c r="A53" s="14" t="s">
        <v>72</v>
      </c>
      <c r="B53" s="15">
        <f t="shared" ref="B53:G53" si="13">B7+B14+B35+B43+B47+B51</f>
        <v>141</v>
      </c>
      <c r="C53" s="15">
        <f t="shared" si="13"/>
        <v>158</v>
      </c>
      <c r="D53" s="15">
        <f t="shared" si="13"/>
        <v>290</v>
      </c>
      <c r="E53" s="15">
        <f t="shared" si="13"/>
        <v>290</v>
      </c>
      <c r="F53" s="15">
        <f t="shared" si="13"/>
        <v>243</v>
      </c>
      <c r="G53" s="15">
        <f t="shared" si="13"/>
        <v>981</v>
      </c>
    </row>
  </sheetData>
  <drawing r:id="rId1"/>
</worksheet>
</file>