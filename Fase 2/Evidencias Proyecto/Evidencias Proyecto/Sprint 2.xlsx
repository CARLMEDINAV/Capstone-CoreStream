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GEbM0+6fADcsIHNYy5WpvOvvbAFi3bVwWbP6nE9rjvI="/>
    </ext>
  </extLst>
</workbook>
</file>

<file path=xl/sharedStrings.xml><?xml version="1.0" encoding="utf-8"?>
<sst xmlns="http://schemas.openxmlformats.org/spreadsheetml/2006/main" count="12" uniqueCount="12">
  <si>
    <t>Control del Sprint 2 de 14 días</t>
  </si>
  <si>
    <t xml:space="preserve">Tareas </t>
  </si>
  <si>
    <t>horas estimadas</t>
  </si>
  <si>
    <t>DIA</t>
  </si>
  <si>
    <t>Total</t>
  </si>
  <si>
    <t>WEB-15 Panel de estadísticas de incidencias</t>
  </si>
  <si>
    <t>WEB-18 Analítica agregada de trabajo</t>
  </si>
  <si>
    <t>WEB-16 Centro de notificaciones in-app</t>
  </si>
  <si>
    <t>WEB-17 Enlace de notificaciones a recursos y filtrado por tipo</t>
  </si>
  <si>
    <t>WEB-20 Notificaciones en tiempo real vía WebSocket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</si>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</sst>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ill="1" applyFont="1"/>
    <xf borderId="7" fillId="0" fontId="3" numFmtId="0" xfId="0" applyBorder="1" applyFont="1"/>
    <xf borderId="8" fillId="3" fontId="2" numFmtId="0" xfId="0" applyBorder="1" applyFill="1" applyFont="1"/>
    <xf borderId="9" fillId="3" fontId="2" numFmtId="0" xfId="0" applyAlignment="1" applyBorder="1" applyFill="1" applyFont="1">
      <alignment horizontal="center" shrinkToFit="0" wrapText="1"/>
    </xf>
    <xf borderId="1" fillId="0" fontId="2" numFmtId="0" xfId="0" applyBorder="1" applyFont="1"/>
    <xf borderId="10" fillId="0" fontId="2" numFmtId="0" xfId="0" applyBorder="1" applyFont="1"/>
    <xf borderId="5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Ejemplo1!$C$5:$P$5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Ejemplo1!$C$6:$P$6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Ejemplo1!$C$7:$P$7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Ejemplo1!$C$8:$P$8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Ejemplo1!$C$9:$P$9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Ejemplo1!$C$10:$P$10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Ejemplo1!$D$26:$Q$26</c:f>
              <c:numCache/>
            </c:numRef>
          </c:val>
          <c:smooth val="0"/>
        </c:ser>
        <c:axId val="186911517"/>
        <c:axId val="1249534543"/>
      </c:lineChart>
      <c:catAx>
        <c:axId val="186911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9534543"/>
      </c:catAx>
      <c:valAx>
        <c:axId val="12495345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91151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161925</xdr:colOff>
      <xdr:row>1</xdr:row>
      <xdr:rowOff>142875</xdr:rowOff>
    </xdr:from>
    <xdr:ext cx="3524250" cy="5467350"/>
    <xdr:graphicFrame>
      <xdr:nvGraphicFramePr>
        <xdr:cNvPr id="9800516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29"/>
    <col customWidth="1" min="2" max="2" width="17.0"/>
    <col customWidth="1" min="3" max="3" width="4.0"/>
    <col customWidth="1" min="4" max="16" width="3.43"/>
    <col customWidth="1" min="17" max="23" width="10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3" t="s">
        <v>4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9"/>
    </row>
    <row r="5" ht="14.25" customHeight="1">
      <c r="A5" s="10" t="s">
        <v>5</v>
      </c>
      <c r="B5" s="11">
        <v>14.0</v>
      </c>
      <c r="C5" s="10">
        <v>4.0</v>
      </c>
      <c r="D5" s="10">
        <v>5.0</v>
      </c>
      <c r="E5" s="10">
        <v>5.0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2">
        <f t="shared" ref="Q5:Q22" si="1">SUM(C5:P5)</f>
        <v>14</v>
      </c>
    </row>
    <row r="6" ht="14.25" customHeight="1">
      <c r="A6" s="10" t="s">
        <v>6</v>
      </c>
      <c r="B6" s="11">
        <v>14.0</v>
      </c>
      <c r="C6" s="10"/>
      <c r="D6" s="10"/>
      <c r="E6" s="10"/>
      <c r="F6" s="10">
        <v>4.0</v>
      </c>
      <c r="G6" s="10">
        <v>5.0</v>
      </c>
      <c r="H6" s="10">
        <v>5.0</v>
      </c>
      <c r="I6" s="10"/>
      <c r="J6" s="10"/>
      <c r="K6" s="10"/>
      <c r="L6" s="10"/>
      <c r="M6" s="10"/>
      <c r="N6" s="10"/>
      <c r="O6" s="10"/>
      <c r="P6" s="10"/>
      <c r="Q6" s="13">
        <f t="shared" si="1"/>
        <v>14</v>
      </c>
    </row>
    <row r="7" ht="14.25" customHeight="1">
      <c r="A7" s="10" t="s">
        <v>7</v>
      </c>
      <c r="B7" s="11">
        <v>14.0</v>
      </c>
      <c r="C7" s="10"/>
      <c r="D7" s="10"/>
      <c r="E7" s="10"/>
      <c r="F7" s="10"/>
      <c r="G7" s="10"/>
      <c r="H7" s="10"/>
      <c r="I7" s="10">
        <v>4.0</v>
      </c>
      <c r="J7" s="10">
        <v>5.0</v>
      </c>
      <c r="K7" s="10">
        <v>5.0</v>
      </c>
      <c r="L7" s="10"/>
      <c r="M7" s="10"/>
      <c r="N7" s="10"/>
      <c r="O7" s="10"/>
      <c r="P7" s="10"/>
      <c r="Q7" s="13">
        <f t="shared" si="1"/>
        <v>14</v>
      </c>
    </row>
    <row r="8" ht="14.25" customHeight="1">
      <c r="A8" s="10" t="s">
        <v>8</v>
      </c>
      <c r="B8" s="11">
        <v>8.0</v>
      </c>
      <c r="C8" s="10"/>
      <c r="D8" s="10"/>
      <c r="E8" s="10"/>
      <c r="F8" s="10"/>
      <c r="G8" s="10"/>
      <c r="H8" s="10"/>
      <c r="I8" s="10"/>
      <c r="J8" s="10"/>
      <c r="K8" s="10">
        <v>4.0</v>
      </c>
      <c r="L8" s="10">
        <v>4.0</v>
      </c>
      <c r="M8" s="10"/>
      <c r="N8" s="10"/>
      <c r="O8" s="10"/>
      <c r="P8" s="10"/>
      <c r="Q8" s="13">
        <f t="shared" si="1"/>
        <v>8</v>
      </c>
    </row>
    <row r="9" ht="14.25" customHeight="1">
      <c r="A9" s="10" t="s">
        <v>9</v>
      </c>
      <c r="B9" s="11">
        <v>16.0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>
        <v>2.0</v>
      </c>
      <c r="N9" s="10">
        <v>3.0</v>
      </c>
      <c r="O9" s="10">
        <v>3.0</v>
      </c>
      <c r="P9" s="10">
        <v>8.0</v>
      </c>
      <c r="Q9" s="13">
        <f t="shared" si="1"/>
        <v>16</v>
      </c>
    </row>
    <row r="10" ht="14.25" customHeight="1">
      <c r="A10" s="10"/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3">
        <f t="shared" si="1"/>
        <v>0</v>
      </c>
    </row>
    <row r="11" ht="14.25" customHeight="1">
      <c r="A11" s="10"/>
      <c r="B11" s="1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3">
        <f t="shared" si="1"/>
        <v>0</v>
      </c>
    </row>
    <row r="12" ht="14.25" customHeight="1">
      <c r="A12" s="10"/>
      <c r="B12" s="1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3">
        <f t="shared" si="1"/>
        <v>0</v>
      </c>
    </row>
    <row r="13" ht="14.25" customHeight="1">
      <c r="A13" s="10"/>
      <c r="B13" s="1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3">
        <f t="shared" si="1"/>
        <v>0</v>
      </c>
    </row>
    <row r="14" ht="14.25" customHeight="1">
      <c r="A14" s="10"/>
      <c r="B14" s="11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3">
        <f t="shared" si="1"/>
        <v>0</v>
      </c>
    </row>
    <row r="15" ht="14.25" customHeight="1">
      <c r="A15" s="10"/>
      <c r="B15" s="1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3">
        <f t="shared" si="1"/>
        <v>0</v>
      </c>
    </row>
    <row r="16" ht="14.25" customHeight="1">
      <c r="A16" s="10"/>
      <c r="B16" s="11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3">
        <f t="shared" si="1"/>
        <v>0</v>
      </c>
    </row>
    <row r="17" ht="14.25" customHeight="1">
      <c r="A17" s="10"/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3">
        <f t="shared" si="1"/>
        <v>0</v>
      </c>
    </row>
    <row r="18" ht="14.25" customHeight="1">
      <c r="A18" s="10"/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3">
        <f t="shared" si="1"/>
        <v>0</v>
      </c>
    </row>
    <row r="19" ht="14.25" customHeight="1">
      <c r="A19" s="10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3">
        <f t="shared" si="1"/>
        <v>0</v>
      </c>
    </row>
    <row r="20" ht="14.25" customHeight="1">
      <c r="A20" s="10"/>
      <c r="B20" s="1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3">
        <f t="shared" si="1"/>
        <v>0</v>
      </c>
    </row>
    <row r="21" ht="14.25" customHeight="1">
      <c r="A21" s="10"/>
      <c r="B21" s="1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3">
        <f t="shared" si="1"/>
        <v>0</v>
      </c>
    </row>
    <row r="22" ht="14.25" customHeight="1">
      <c r="A22" s="10"/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3">
        <f t="shared" si="1"/>
        <v>0</v>
      </c>
    </row>
    <row r="23" ht="14.25" customHeight="1">
      <c r="A23" s="10"/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3"/>
    </row>
    <row r="24" ht="14.25" customHeight="1">
      <c r="A24" s="10"/>
      <c r="B24" s="11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4">
        <f>SUM(C24:P24)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ht="14.25" customHeight="1">
      <c r="A26" s="2"/>
      <c r="B26" s="15">
        <f>SUM(B5:B25)</f>
        <v>66</v>
      </c>
      <c r="C26" s="15">
        <f>B26</f>
        <v>66</v>
      </c>
      <c r="D26" s="15">
        <f t="shared" ref="D26:P26" si="2">C26-SUM(C5:C24)</f>
        <v>62</v>
      </c>
      <c r="E26" s="15">
        <f t="shared" si="2"/>
        <v>57</v>
      </c>
      <c r="F26" s="15">
        <f t="shared" si="2"/>
        <v>52</v>
      </c>
      <c r="G26" s="15">
        <f t="shared" si="2"/>
        <v>48</v>
      </c>
      <c r="H26" s="15">
        <f t="shared" si="2"/>
        <v>43</v>
      </c>
      <c r="I26" s="15">
        <f t="shared" si="2"/>
        <v>38</v>
      </c>
      <c r="J26" s="15">
        <f t="shared" si="2"/>
        <v>34</v>
      </c>
      <c r="K26" s="15">
        <f t="shared" si="2"/>
        <v>29</v>
      </c>
      <c r="L26" s="15">
        <f t="shared" si="2"/>
        <v>20</v>
      </c>
      <c r="M26" s="15">
        <f t="shared" si="2"/>
        <v>16</v>
      </c>
      <c r="N26" s="15">
        <f t="shared" si="2"/>
        <v>14</v>
      </c>
      <c r="O26" s="15">
        <f t="shared" si="2"/>
        <v>11</v>
      </c>
      <c r="P26" s="15">
        <f t="shared" si="2"/>
        <v>8</v>
      </c>
      <c r="Q26" s="15" t="str">
        <f>#REF!-SUM(#REF!)</f>
        <v>#REF!</v>
      </c>
    </row>
    <row r="27" ht="14.25" customHeight="1">
      <c r="A27" s="16" t="s">
        <v>10</v>
      </c>
      <c r="B27" s="2">
        <f t="shared" ref="B27:O27" si="3">C26</f>
        <v>66</v>
      </c>
      <c r="C27" s="2">
        <f t="shared" si="3"/>
        <v>62</v>
      </c>
      <c r="D27" s="2">
        <f t="shared" si="3"/>
        <v>57</v>
      </c>
      <c r="E27" s="2">
        <f t="shared" si="3"/>
        <v>52</v>
      </c>
      <c r="F27" s="2">
        <f t="shared" si="3"/>
        <v>48</v>
      </c>
      <c r="G27" s="2">
        <f t="shared" si="3"/>
        <v>43</v>
      </c>
      <c r="H27" s="2">
        <f t="shared" si="3"/>
        <v>38</v>
      </c>
      <c r="I27" s="2">
        <f t="shared" si="3"/>
        <v>34</v>
      </c>
      <c r="J27" s="2">
        <f t="shared" si="3"/>
        <v>29</v>
      </c>
      <c r="K27" s="2">
        <f t="shared" si="3"/>
        <v>20</v>
      </c>
      <c r="L27" s="2">
        <f t="shared" si="3"/>
        <v>16</v>
      </c>
      <c r="M27" s="2">
        <f t="shared" si="3"/>
        <v>14</v>
      </c>
      <c r="N27" s="2">
        <f t="shared" si="3"/>
        <v>11</v>
      </c>
      <c r="O27" s="2">
        <f t="shared" si="3"/>
        <v>8</v>
      </c>
      <c r="P27" s="2"/>
      <c r="Q27" s="2"/>
    </row>
    <row r="28" ht="14.25" customHeight="1">
      <c r="A28" s="2"/>
      <c r="B28" s="15">
        <f>SUM(B5:B24)</f>
        <v>66</v>
      </c>
      <c r="C28" s="15">
        <f>SUM(B5:B24)</f>
        <v>66</v>
      </c>
      <c r="D28" s="15">
        <f t="shared" ref="D28:P28" si="4">C28-(SUM($B$5:$B$24)/20)</f>
        <v>62.7</v>
      </c>
      <c r="E28" s="15">
        <f t="shared" si="4"/>
        <v>59.4</v>
      </c>
      <c r="F28" s="15">
        <f t="shared" si="4"/>
        <v>56.1</v>
      </c>
      <c r="G28" s="15">
        <f t="shared" si="4"/>
        <v>52.8</v>
      </c>
      <c r="H28" s="15">
        <f t="shared" si="4"/>
        <v>49.5</v>
      </c>
      <c r="I28" s="15">
        <f t="shared" si="4"/>
        <v>46.2</v>
      </c>
      <c r="J28" s="15">
        <f t="shared" si="4"/>
        <v>42.9</v>
      </c>
      <c r="K28" s="15">
        <f t="shared" si="4"/>
        <v>39.6</v>
      </c>
      <c r="L28" s="15">
        <f t="shared" si="4"/>
        <v>36.3</v>
      </c>
      <c r="M28" s="15">
        <f t="shared" si="4"/>
        <v>33</v>
      </c>
      <c r="N28" s="15">
        <f t="shared" si="4"/>
        <v>29.7</v>
      </c>
      <c r="O28" s="15">
        <f t="shared" si="4"/>
        <v>26.4</v>
      </c>
      <c r="P28" s="15">
        <f t="shared" si="4"/>
        <v>23.1</v>
      </c>
      <c r="Q28" s="15" t="str">
        <f>#REF!-(SUM($B$5:$B$24)/20)</f>
        <v>#REF!</v>
      </c>
    </row>
    <row r="29" ht="14.25" customHeight="1">
      <c r="A29" s="16" t="s">
        <v>11</v>
      </c>
      <c r="B29" s="2">
        <f>B28</f>
        <v>66</v>
      </c>
      <c r="C29" s="2">
        <f t="shared" ref="C29:O29" si="5">D28</f>
        <v>62.7</v>
      </c>
      <c r="D29" s="2">
        <f t="shared" si="5"/>
        <v>59.4</v>
      </c>
      <c r="E29" s="2">
        <f t="shared" si="5"/>
        <v>56.1</v>
      </c>
      <c r="F29" s="2">
        <f t="shared" si="5"/>
        <v>52.8</v>
      </c>
      <c r="G29" s="2">
        <f t="shared" si="5"/>
        <v>49.5</v>
      </c>
      <c r="H29" s="2">
        <f t="shared" si="5"/>
        <v>46.2</v>
      </c>
      <c r="I29" s="2">
        <f t="shared" si="5"/>
        <v>42.9</v>
      </c>
      <c r="J29" s="2">
        <f t="shared" si="5"/>
        <v>39.6</v>
      </c>
      <c r="K29" s="2">
        <f t="shared" si="5"/>
        <v>36.3</v>
      </c>
      <c r="L29" s="2">
        <f t="shared" si="5"/>
        <v>33</v>
      </c>
      <c r="M29" s="2">
        <f t="shared" si="5"/>
        <v>29.7</v>
      </c>
      <c r="N29" s="2">
        <f t="shared" si="5"/>
        <v>26.4</v>
      </c>
      <c r="O29" s="2">
        <f t="shared" si="5"/>
        <v>23.1</v>
      </c>
      <c r="P29" s="2"/>
      <c r="Q29" s="2"/>
    </row>
    <row r="30" ht="14.25" customHeight="1">
      <c r="A30" s="2"/>
      <c r="B30" s="17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ht="14.25" customHeight="1">
      <c r="A31" s="2"/>
      <c r="B31" s="17"/>
      <c r="C31" s="2"/>
      <c r="D31" s="2"/>
      <c r="E31" s="2"/>
      <c r="F31" s="2"/>
      <c r="G31" s="17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14.25" customHeight="1">
      <c r="A32" s="2"/>
      <c r="B32" s="17"/>
      <c r="C32" s="2"/>
      <c r="D32" s="2"/>
      <c r="E32" s="2"/>
      <c r="F32" s="2"/>
      <c r="G32" s="17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ht="14.25" customHeight="1">
      <c r="A33" s="2"/>
      <c r="B33" s="17"/>
      <c r="C33" s="2"/>
      <c r="D33" s="2"/>
      <c r="E33" s="2"/>
      <c r="F33" s="2"/>
      <c r="G33" s="17"/>
      <c r="H33" s="2"/>
      <c r="I33" s="2"/>
    </row>
    <row r="34" ht="14.25" customHeight="1">
      <c r="A34" s="2"/>
      <c r="B34" s="17"/>
      <c r="C34" s="2"/>
      <c r="D34" s="2"/>
      <c r="E34" s="2"/>
      <c r="F34" s="2"/>
      <c r="G34" s="17"/>
      <c r="H34" s="2"/>
      <c r="I34" s="2"/>
    </row>
    <row r="35" ht="14.25" customHeight="1">
      <c r="A35" s="2"/>
      <c r="B35" s="17"/>
      <c r="C35" s="2"/>
      <c r="D35" s="2"/>
      <c r="E35" s="2"/>
      <c r="F35" s="2"/>
      <c r="G35" s="17"/>
      <c r="H35" s="2"/>
      <c r="I35" s="2"/>
    </row>
    <row r="36" ht="14.25" customHeight="1">
      <c r="A36" s="2"/>
      <c r="B36" s="17"/>
      <c r="C36" s="2"/>
      <c r="D36" s="2"/>
      <c r="E36" s="2"/>
      <c r="F36" s="2"/>
      <c r="G36" s="17"/>
      <c r="H36" s="2"/>
      <c r="I36" s="2"/>
    </row>
    <row r="37" ht="14.25" customHeight="1">
      <c r="A37" s="2"/>
      <c r="B37" s="17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17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17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